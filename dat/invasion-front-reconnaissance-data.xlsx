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293003c/Downloads/"/>
    </mc:Choice>
  </mc:AlternateContent>
  <xr:revisionPtr revIDLastSave="0" documentId="13_ncr:1_{3DCF0764-FA22-154A-BAE1-F3B173D114F1}" xr6:coauthVersionLast="47" xr6:coauthVersionMax="47" xr10:uidLastSave="{00000000-0000-0000-0000-000000000000}"/>
  <bookViews>
    <workbookView xWindow="-14400" yWindow="-21100" windowWidth="26200" windowHeight="16740" xr2:uid="{4CAA4207-9EE1-5144-A1AD-9EE0DFB21093}"/>
  </bookViews>
  <sheets>
    <sheet name="recon_data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2" i="1"/>
</calcChain>
</file>

<file path=xl/sharedStrings.xml><?xml version="1.0" encoding="utf-8"?>
<sst xmlns="http://schemas.openxmlformats.org/spreadsheetml/2006/main" count="178" uniqueCount="52">
  <si>
    <t>year</t>
  </si>
  <si>
    <t>month</t>
  </si>
  <si>
    <t>day</t>
  </si>
  <si>
    <t>time</t>
  </si>
  <si>
    <t>temperature</t>
  </si>
  <si>
    <t>survey.type</t>
  </si>
  <si>
    <t>water.status</t>
  </si>
  <si>
    <t>NEG1</t>
  </si>
  <si>
    <t>nocturnal</t>
  </si>
  <si>
    <t>available</t>
  </si>
  <si>
    <t>DAYNEG1</t>
  </si>
  <si>
    <t>interview</t>
  </si>
  <si>
    <t>Confirmed positive by NM rangers</t>
  </si>
  <si>
    <t>Confirmed negative at Jarlmadangah Burru community by Aleisha and School Teacher</t>
  </si>
  <si>
    <t>CAMBALLIN</t>
  </si>
  <si>
    <t>Confirmed positive by Irene and Denis; toads first seen six weeks ago</t>
  </si>
  <si>
    <t>Confirmed positive by Abbi (station manager); toads arrived January 23</t>
  </si>
  <si>
    <t>6 toads</t>
  </si>
  <si>
    <t>Geegully camp</t>
  </si>
  <si>
    <t>diurnal</t>
  </si>
  <si>
    <t>52 Crocodiles seen in downstream pool.</t>
  </si>
  <si>
    <t>toad-proof</t>
  </si>
  <si>
    <t>2x northern pastoral troughs; steel tank; very little water</t>
  </si>
  <si>
    <t>salty</t>
  </si>
  <si>
    <t>dry</t>
  </si>
  <si>
    <t>many inermis</t>
  </si>
  <si>
    <t>3 females; 2 males.  All very large animals and in excellent condition.</t>
  </si>
  <si>
    <t>Lots of inermis calling; two cyclorana observed also</t>
  </si>
  <si>
    <t>possibly a dead toad near waters edge, but couldn't be certain.</t>
  </si>
  <si>
    <t>Single male</t>
  </si>
  <si>
    <t>12+ freshwater crocs in the lagoon.</t>
  </si>
  <si>
    <t>2024-10-26-1</t>
  </si>
  <si>
    <t>2024-10-26-2</t>
  </si>
  <si>
    <t>2024-10-26-3</t>
  </si>
  <si>
    <t>2024-10-26-4</t>
  </si>
  <si>
    <t>2024-10-26-5</t>
  </si>
  <si>
    <t>2024-10-26-6</t>
  </si>
  <si>
    <t>2024-10-26-7</t>
  </si>
  <si>
    <t>A place where all Tim and Ben's surveys go</t>
  </si>
  <si>
    <t>All Lat/long data come from Ben's GPS and are recorded with the GRS 80 spheroid and GDA94 Datum</t>
  </si>
  <si>
    <t>n.persons</t>
  </si>
  <si>
    <t>X_record_id</t>
  </si>
  <si>
    <t>X_latitude</t>
  </si>
  <si>
    <t>X_longitude</t>
  </si>
  <si>
    <t>X_date</t>
  </si>
  <si>
    <t>location_n</t>
  </si>
  <si>
    <t>Camballin</t>
  </si>
  <si>
    <t>notes</t>
  </si>
  <si>
    <t>search.tim</t>
  </si>
  <si>
    <t>any_cane_t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</si>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</sst>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20" fontId="0" fillId="0" borderId="0" xfId="0" applyNumberFormat="1"/>
    <xf numFmtId="0" fontId="1" fillId="0" borderId="0" xfId="0" applyFont="1" applyAlignment="1">
      <alignment vertical="center"/>
    </xf>
    <xf numFmtId="0" fontId="3" fillId="0" borderId="0" xfId="0" applyFont="1"/>
    <xf numFmtId="21" fontId="3" fillId="0" borderId="0" xfId="0" applyNumberFormat="1" applyFont="1"/>
    <xf numFmtId="2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5425-8307-4A4E-BBA1-7FF7DA274487}">
  <dimension ref="A1:P46"/>
  <sheetViews>
    <sheetView tabSelected="1" workbookViewId="0">
      <pane ySplit="1" topLeftCell="A2" activePane="bottomLeft" state="frozen"/>
      <selection pane="bottomLeft" activeCell="J1" sqref="J1:J1048576"/>
    </sheetView>
  </sheetViews>
  <sheetFormatPr baseColWidth="10" defaultColWidth="11" defaultRowHeight="16" x14ac:dyDescent="0.2"/>
  <sheetData>
    <row r="1" spans="1:16" x14ac:dyDescent="0.2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0</v>
      </c>
      <c r="G1" t="s">
        <v>1</v>
      </c>
      <c r="H1" t="s">
        <v>2</v>
      </c>
      <c r="I1" t="s">
        <v>3</v>
      </c>
      <c r="J1" t="s">
        <v>49</v>
      </c>
      <c r="K1" t="s">
        <v>40</v>
      </c>
      <c r="L1" t="s">
        <v>48</v>
      </c>
      <c r="M1" t="s">
        <v>4</v>
      </c>
      <c r="N1" t="s">
        <v>5</v>
      </c>
      <c r="O1" t="s">
        <v>6</v>
      </c>
      <c r="P1" t="s">
        <v>47</v>
      </c>
    </row>
    <row r="2" spans="1:16" x14ac:dyDescent="0.2">
      <c r="A2" t="s">
        <v>7</v>
      </c>
      <c r="B2">
        <v>-17.732258980000001</v>
      </c>
      <c r="C2">
        <v>123.65051</v>
      </c>
      <c r="D2" t="str">
        <f>CONCATENATE(F2, "-", G2,"-", H2)</f>
        <v>2023-8-28</v>
      </c>
      <c r="F2">
        <v>2023</v>
      </c>
      <c r="G2">
        <v>8</v>
      </c>
      <c r="H2">
        <v>28</v>
      </c>
      <c r="I2" s="1">
        <v>0.796875</v>
      </c>
      <c r="J2" t="s">
        <v>50</v>
      </c>
      <c r="K2">
        <v>2</v>
      </c>
      <c r="L2">
        <v>60</v>
      </c>
      <c r="N2" t="s">
        <v>8</v>
      </c>
      <c r="O2" t="s">
        <v>9</v>
      </c>
    </row>
    <row r="3" spans="1:16" s="4" customFormat="1" x14ac:dyDescent="0.2">
      <c r="A3" s="4" t="s">
        <v>10</v>
      </c>
      <c r="B3" s="4">
        <v>-17.83639801</v>
      </c>
      <c r="C3" s="4">
        <v>124.064375</v>
      </c>
      <c r="D3" t="str">
        <f t="shared" ref="D3:D46" si="0">CONCATENATE(F3, "-", G3,"-", H3)</f>
        <v>2023-8-29</v>
      </c>
      <c r="F3" s="4">
        <v>2023</v>
      </c>
      <c r="G3" s="4">
        <v>8</v>
      </c>
      <c r="H3" s="4">
        <v>29</v>
      </c>
      <c r="J3" t="s">
        <v>51</v>
      </c>
      <c r="L3"/>
      <c r="N3" s="4" t="s">
        <v>11</v>
      </c>
      <c r="O3" s="4" t="s">
        <v>9</v>
      </c>
      <c r="P3" s="4" t="s">
        <v>12</v>
      </c>
    </row>
    <row r="4" spans="1:16" x14ac:dyDescent="0.2">
      <c r="A4">
        <v>68</v>
      </c>
      <c r="B4">
        <v>-18.012687</v>
      </c>
      <c r="C4">
        <v>124.010355</v>
      </c>
      <c r="D4" t="str">
        <f t="shared" si="0"/>
        <v>2023-8-29</v>
      </c>
      <c r="F4">
        <v>2023</v>
      </c>
      <c r="G4">
        <v>8</v>
      </c>
      <c r="H4">
        <v>29</v>
      </c>
      <c r="J4" t="s">
        <v>50</v>
      </c>
      <c r="N4" t="s">
        <v>11</v>
      </c>
      <c r="O4" t="s">
        <v>9</v>
      </c>
      <c r="P4" t="s">
        <v>13</v>
      </c>
    </row>
    <row r="5" spans="1:16" s="4" customFormat="1" x14ac:dyDescent="0.2">
      <c r="A5" s="4">
        <v>69</v>
      </c>
      <c r="B5" s="4">
        <v>-17.946525990000001</v>
      </c>
      <c r="C5" s="4">
        <v>124.069261</v>
      </c>
      <c r="D5" t="str">
        <f t="shared" si="0"/>
        <v>2023-8-29</v>
      </c>
      <c r="F5" s="4">
        <v>2023</v>
      </c>
      <c r="G5" s="4">
        <v>8</v>
      </c>
      <c r="H5" s="4">
        <v>29</v>
      </c>
      <c r="I5" s="5">
        <v>0.88648148148148154</v>
      </c>
      <c r="J5" t="s">
        <v>51</v>
      </c>
      <c r="K5">
        <v>2</v>
      </c>
      <c r="L5">
        <v>5</v>
      </c>
      <c r="N5" s="4" t="s">
        <v>8</v>
      </c>
      <c r="O5" s="4" t="s">
        <v>9</v>
      </c>
    </row>
    <row r="6" spans="1:16" x14ac:dyDescent="0.2">
      <c r="A6">
        <v>70</v>
      </c>
      <c r="B6">
        <v>-17.92207397</v>
      </c>
      <c r="C6">
        <v>124.11818599999999</v>
      </c>
      <c r="D6" t="str">
        <f t="shared" si="0"/>
        <v>2023-8-29</v>
      </c>
      <c r="F6">
        <v>2023</v>
      </c>
      <c r="G6">
        <v>8</v>
      </c>
      <c r="H6">
        <v>29</v>
      </c>
      <c r="I6" s="1">
        <v>0.82465277777777779</v>
      </c>
      <c r="J6" t="s">
        <v>50</v>
      </c>
      <c r="K6">
        <v>2</v>
      </c>
      <c r="L6">
        <v>20</v>
      </c>
      <c r="N6" t="s">
        <v>8</v>
      </c>
      <c r="O6" t="s">
        <v>9</v>
      </c>
    </row>
    <row r="7" spans="1:16" s="4" customFormat="1" x14ac:dyDescent="0.2">
      <c r="A7" s="4" t="s">
        <v>14</v>
      </c>
      <c r="B7" s="4">
        <v>-17.991384010000001</v>
      </c>
      <c r="C7" s="4">
        <v>124.19179800000001</v>
      </c>
      <c r="D7" t="str">
        <f t="shared" si="0"/>
        <v>2023-8-29</v>
      </c>
      <c r="E7" s="4" t="s">
        <v>46</v>
      </c>
      <c r="F7" s="4">
        <v>2023</v>
      </c>
      <c r="G7" s="4">
        <v>8</v>
      </c>
      <c r="H7" s="4">
        <v>29</v>
      </c>
      <c r="J7" t="s">
        <v>51</v>
      </c>
      <c r="L7"/>
      <c r="N7" s="4" t="s">
        <v>11</v>
      </c>
      <c r="O7" s="4" t="s">
        <v>9</v>
      </c>
      <c r="P7" s="4" t="s">
        <v>15</v>
      </c>
    </row>
    <row r="8" spans="1:16" x14ac:dyDescent="0.2">
      <c r="A8">
        <v>71</v>
      </c>
      <c r="B8">
        <v>-18.058855980000001</v>
      </c>
      <c r="C8">
        <v>124.17252000000001</v>
      </c>
      <c r="D8" t="str">
        <f t="shared" si="0"/>
        <v>2023-8-29</v>
      </c>
      <c r="F8">
        <v>2023</v>
      </c>
      <c r="G8">
        <v>8</v>
      </c>
      <c r="H8">
        <v>29</v>
      </c>
      <c r="I8" s="1">
        <v>0.80577546296296299</v>
      </c>
      <c r="J8" t="s">
        <v>50</v>
      </c>
      <c r="K8">
        <v>2</v>
      </c>
      <c r="L8">
        <v>20</v>
      </c>
      <c r="N8" t="s">
        <v>8</v>
      </c>
      <c r="O8" t="s">
        <v>9</v>
      </c>
    </row>
    <row r="9" spans="1:16" s="4" customFormat="1" x14ac:dyDescent="0.2">
      <c r="A9" s="4">
        <v>73</v>
      </c>
      <c r="B9" s="4">
        <v>-18.123653040000001</v>
      </c>
      <c r="C9" s="4">
        <v>124.26972499999999</v>
      </c>
      <c r="D9" t="str">
        <f t="shared" si="0"/>
        <v>2023-8-29</v>
      </c>
      <c r="F9" s="4">
        <v>2023</v>
      </c>
      <c r="G9" s="4">
        <v>8</v>
      </c>
      <c r="H9" s="4">
        <v>29</v>
      </c>
      <c r="J9" t="s">
        <v>51</v>
      </c>
      <c r="L9"/>
      <c r="N9" s="4" t="s">
        <v>11</v>
      </c>
      <c r="O9" s="4" t="s">
        <v>9</v>
      </c>
      <c r="P9" s="4" t="s">
        <v>16</v>
      </c>
    </row>
    <row r="10" spans="1:16" s="4" customFormat="1" x14ac:dyDescent="0.2">
      <c r="A10" s="4">
        <v>74</v>
      </c>
      <c r="B10" s="4">
        <v>-18.136205019999998</v>
      </c>
      <c r="C10" s="4">
        <v>124.20571200000001</v>
      </c>
      <c r="D10" t="str">
        <f t="shared" si="0"/>
        <v>2023-8-29</v>
      </c>
      <c r="F10" s="4">
        <v>2023</v>
      </c>
      <c r="G10" s="4">
        <v>8</v>
      </c>
      <c r="H10" s="4">
        <v>29</v>
      </c>
      <c r="I10" s="5">
        <v>0.76388888888888884</v>
      </c>
      <c r="J10" t="s">
        <v>51</v>
      </c>
      <c r="K10">
        <v>2</v>
      </c>
      <c r="L10">
        <v>10</v>
      </c>
      <c r="N10" s="4" t="s">
        <v>8</v>
      </c>
      <c r="O10" s="4" t="s">
        <v>9</v>
      </c>
    </row>
    <row r="11" spans="1:16" s="4" customFormat="1" x14ac:dyDescent="0.2">
      <c r="A11" s="4">
        <v>75</v>
      </c>
      <c r="B11" s="4">
        <v>-18.245935029999998</v>
      </c>
      <c r="C11" s="4">
        <v>124.091071</v>
      </c>
      <c r="D11" t="str">
        <f t="shared" si="0"/>
        <v>2023-8-30</v>
      </c>
      <c r="F11" s="4">
        <v>2023</v>
      </c>
      <c r="G11" s="4">
        <v>8</v>
      </c>
      <c r="H11" s="4">
        <v>30</v>
      </c>
      <c r="I11" s="5">
        <v>0.90660879629629632</v>
      </c>
      <c r="J11" t="s">
        <v>51</v>
      </c>
      <c r="K11">
        <v>2</v>
      </c>
      <c r="L11">
        <v>5</v>
      </c>
      <c r="N11" s="4" t="s">
        <v>8</v>
      </c>
      <c r="O11" s="4" t="s">
        <v>9</v>
      </c>
      <c r="P11" s="4" t="s">
        <v>17</v>
      </c>
    </row>
    <row r="12" spans="1:16" x14ac:dyDescent="0.2">
      <c r="A12">
        <v>76</v>
      </c>
      <c r="B12">
        <v>-18.290869990000001</v>
      </c>
      <c r="C12">
        <v>123.97981900000001</v>
      </c>
      <c r="D12" t="str">
        <f t="shared" si="0"/>
        <v>2023-8-30</v>
      </c>
      <c r="F12">
        <v>2023</v>
      </c>
      <c r="G12">
        <v>8</v>
      </c>
      <c r="H12">
        <v>30</v>
      </c>
      <c r="I12" s="1">
        <v>0.86581018518518515</v>
      </c>
      <c r="J12" t="s">
        <v>50</v>
      </c>
      <c r="K12">
        <v>2</v>
      </c>
      <c r="L12">
        <v>15</v>
      </c>
      <c r="N12" t="s">
        <v>8</v>
      </c>
      <c r="O12" t="s">
        <v>9</v>
      </c>
    </row>
    <row r="13" spans="1:16" x14ac:dyDescent="0.2">
      <c r="A13">
        <v>77</v>
      </c>
      <c r="B13">
        <v>-18.388572979999999</v>
      </c>
      <c r="C13">
        <v>123.89590200000001</v>
      </c>
      <c r="D13" t="str">
        <f t="shared" si="0"/>
        <v>2023-8-30</v>
      </c>
      <c r="F13">
        <v>2023</v>
      </c>
      <c r="G13">
        <v>8</v>
      </c>
      <c r="H13">
        <v>30</v>
      </c>
      <c r="I13" s="1">
        <v>0.83403935185185185</v>
      </c>
      <c r="J13" t="s">
        <v>50</v>
      </c>
      <c r="K13">
        <v>2</v>
      </c>
      <c r="L13">
        <v>15</v>
      </c>
      <c r="N13" t="s">
        <v>8</v>
      </c>
      <c r="O13" t="s">
        <v>9</v>
      </c>
    </row>
    <row r="14" spans="1:16" x14ac:dyDescent="0.2">
      <c r="A14">
        <v>79</v>
      </c>
      <c r="B14">
        <v>-18.270114979999999</v>
      </c>
      <c r="C14">
        <v>123.748251</v>
      </c>
      <c r="D14" t="str">
        <f t="shared" si="0"/>
        <v>2023-8-30</v>
      </c>
      <c r="F14">
        <v>2023</v>
      </c>
      <c r="G14">
        <v>8</v>
      </c>
      <c r="H14">
        <v>30</v>
      </c>
      <c r="I14" s="1">
        <v>0.79655092592592591</v>
      </c>
      <c r="J14" t="s">
        <v>50</v>
      </c>
      <c r="K14">
        <v>2</v>
      </c>
      <c r="L14">
        <v>30</v>
      </c>
      <c r="N14" t="s">
        <v>8</v>
      </c>
      <c r="O14" t="s">
        <v>9</v>
      </c>
    </row>
    <row r="15" spans="1:16" x14ac:dyDescent="0.2">
      <c r="A15">
        <v>80</v>
      </c>
      <c r="B15">
        <v>-18.224041</v>
      </c>
      <c r="C15">
        <v>123.745535</v>
      </c>
      <c r="D15" t="str">
        <f t="shared" si="0"/>
        <v>2023-8-30</v>
      </c>
      <c r="F15">
        <v>2023</v>
      </c>
      <c r="G15">
        <v>8</v>
      </c>
      <c r="H15">
        <v>30</v>
      </c>
      <c r="I15" s="1">
        <v>0.92525462962962968</v>
      </c>
      <c r="J15" t="s">
        <v>50</v>
      </c>
      <c r="K15">
        <v>2</v>
      </c>
      <c r="L15">
        <v>40</v>
      </c>
      <c r="N15" t="s">
        <v>8</v>
      </c>
      <c r="O15" t="s">
        <v>9</v>
      </c>
      <c r="P15" t="s">
        <v>18</v>
      </c>
    </row>
    <row r="16" spans="1:16" x14ac:dyDescent="0.2">
      <c r="A16">
        <v>86</v>
      </c>
      <c r="B16">
        <v>-17.917628959999998</v>
      </c>
      <c r="C16">
        <v>123.626836</v>
      </c>
      <c r="D16" t="str">
        <f t="shared" si="0"/>
        <v>2023-8-31</v>
      </c>
      <c r="F16">
        <v>2023</v>
      </c>
      <c r="G16">
        <v>8</v>
      </c>
      <c r="H16">
        <v>31</v>
      </c>
      <c r="I16" s="1">
        <v>0.77144675925925921</v>
      </c>
      <c r="J16" t="s">
        <v>50</v>
      </c>
      <c r="K16">
        <v>2</v>
      </c>
      <c r="L16">
        <v>20</v>
      </c>
      <c r="N16" t="s">
        <v>8</v>
      </c>
      <c r="O16" t="s">
        <v>9</v>
      </c>
    </row>
    <row r="17" spans="1:16" x14ac:dyDescent="0.2">
      <c r="A17">
        <v>88</v>
      </c>
      <c r="B17">
        <v>-17.890193979999999</v>
      </c>
      <c r="C17">
        <v>123.577894</v>
      </c>
      <c r="D17" t="str">
        <f t="shared" si="0"/>
        <v>2023-8-31</v>
      </c>
      <c r="F17">
        <v>2023</v>
      </c>
      <c r="G17">
        <v>8</v>
      </c>
      <c r="H17">
        <v>31</v>
      </c>
      <c r="I17" s="1">
        <v>0.80384259259259261</v>
      </c>
      <c r="J17" t="s">
        <v>50</v>
      </c>
      <c r="K17">
        <v>2</v>
      </c>
      <c r="L17">
        <v>15</v>
      </c>
      <c r="N17" t="s">
        <v>8</v>
      </c>
      <c r="O17" t="s">
        <v>9</v>
      </c>
    </row>
    <row r="18" spans="1:16" x14ac:dyDescent="0.2">
      <c r="A18">
        <v>89</v>
      </c>
      <c r="B18">
        <v>-17.867298980000001</v>
      </c>
      <c r="C18">
        <v>123.484686</v>
      </c>
      <c r="D18" t="str">
        <f t="shared" si="0"/>
        <v>2023-8-31</v>
      </c>
      <c r="F18">
        <v>2023</v>
      </c>
      <c r="G18">
        <v>8</v>
      </c>
      <c r="H18">
        <v>31</v>
      </c>
      <c r="I18" s="1">
        <v>0.81987268518518519</v>
      </c>
      <c r="J18" t="s">
        <v>50</v>
      </c>
      <c r="K18">
        <v>2</v>
      </c>
      <c r="L18">
        <v>15</v>
      </c>
      <c r="N18" t="s">
        <v>8</v>
      </c>
      <c r="O18" t="s">
        <v>9</v>
      </c>
    </row>
    <row r="19" spans="1:16" x14ac:dyDescent="0.2">
      <c r="A19">
        <v>90</v>
      </c>
      <c r="B19">
        <v>-17.824527979999999</v>
      </c>
      <c r="C19">
        <v>123.48777</v>
      </c>
      <c r="D19" t="str">
        <f t="shared" si="0"/>
        <v>2023-8-31</v>
      </c>
      <c r="F19">
        <v>2023</v>
      </c>
      <c r="G19">
        <v>8</v>
      </c>
      <c r="H19">
        <v>31</v>
      </c>
      <c r="I19" s="1">
        <v>0.83361111111111108</v>
      </c>
      <c r="J19" t="s">
        <v>50</v>
      </c>
      <c r="K19">
        <v>2</v>
      </c>
      <c r="L19">
        <v>15</v>
      </c>
      <c r="N19" t="s">
        <v>8</v>
      </c>
      <c r="O19" t="s">
        <v>9</v>
      </c>
    </row>
    <row r="20" spans="1:16" x14ac:dyDescent="0.2">
      <c r="A20">
        <v>91</v>
      </c>
      <c r="B20">
        <v>-17.67334</v>
      </c>
      <c r="C20">
        <v>123.45507000000001</v>
      </c>
      <c r="D20" t="str">
        <f t="shared" si="0"/>
        <v>2024-7-5</v>
      </c>
      <c r="F20">
        <v>2024</v>
      </c>
      <c r="G20">
        <v>7</v>
      </c>
      <c r="H20">
        <v>5</v>
      </c>
      <c r="I20" s="1">
        <v>0.70833333333333337</v>
      </c>
      <c r="J20" t="s">
        <v>50</v>
      </c>
      <c r="K20">
        <v>2</v>
      </c>
      <c r="L20">
        <v>12</v>
      </c>
      <c r="N20" t="s">
        <v>19</v>
      </c>
      <c r="O20" t="s">
        <v>9</v>
      </c>
    </row>
    <row r="21" spans="1:16" x14ac:dyDescent="0.2">
      <c r="A21">
        <v>90</v>
      </c>
      <c r="B21">
        <v>-17.824527979999999</v>
      </c>
      <c r="C21">
        <v>123.48777</v>
      </c>
      <c r="D21" t="str">
        <f t="shared" si="0"/>
        <v>2024-7-5</v>
      </c>
      <c r="F21">
        <v>2024</v>
      </c>
      <c r="G21">
        <v>7</v>
      </c>
      <c r="H21">
        <v>5</v>
      </c>
      <c r="I21" s="1">
        <v>0.7729166666666667</v>
      </c>
      <c r="J21" t="s">
        <v>50</v>
      </c>
      <c r="K21">
        <v>2</v>
      </c>
      <c r="L21">
        <v>10</v>
      </c>
      <c r="M21">
        <v>17</v>
      </c>
      <c r="N21" t="s">
        <v>8</v>
      </c>
      <c r="O21" t="s">
        <v>9</v>
      </c>
    </row>
    <row r="22" spans="1:16" x14ac:dyDescent="0.2">
      <c r="A22">
        <v>93</v>
      </c>
      <c r="B22">
        <v>-17.86664</v>
      </c>
      <c r="C22">
        <v>123.48269999999999</v>
      </c>
      <c r="D22" t="str">
        <f t="shared" si="0"/>
        <v>2024-7-5</v>
      </c>
      <c r="F22">
        <v>2024</v>
      </c>
      <c r="G22">
        <v>7</v>
      </c>
      <c r="H22">
        <v>5</v>
      </c>
      <c r="I22" s="1">
        <v>0.77847222222222223</v>
      </c>
      <c r="J22" t="s">
        <v>50</v>
      </c>
      <c r="K22">
        <v>2</v>
      </c>
      <c r="L22">
        <v>6</v>
      </c>
      <c r="M22">
        <v>15</v>
      </c>
      <c r="N22" t="s">
        <v>8</v>
      </c>
      <c r="O22" t="s">
        <v>9</v>
      </c>
    </row>
    <row r="23" spans="1:16" x14ac:dyDescent="0.2">
      <c r="A23">
        <v>94</v>
      </c>
      <c r="B23">
        <v>-17.980530000000002</v>
      </c>
      <c r="C23">
        <v>123.47796</v>
      </c>
      <c r="D23" t="str">
        <f t="shared" si="0"/>
        <v>2024-7-5</v>
      </c>
      <c r="F23">
        <v>2024</v>
      </c>
      <c r="G23">
        <v>7</v>
      </c>
      <c r="H23">
        <v>5</v>
      </c>
      <c r="I23" s="2">
        <v>0.79652777777777772</v>
      </c>
      <c r="J23" t="s">
        <v>50</v>
      </c>
      <c r="K23">
        <v>2</v>
      </c>
      <c r="L23">
        <v>5</v>
      </c>
      <c r="M23">
        <v>14</v>
      </c>
      <c r="N23" t="s">
        <v>8</v>
      </c>
      <c r="O23" t="s">
        <v>9</v>
      </c>
    </row>
    <row r="24" spans="1:16" x14ac:dyDescent="0.2">
      <c r="A24">
        <v>79</v>
      </c>
      <c r="B24">
        <v>-18.270114979999999</v>
      </c>
      <c r="C24">
        <v>123.748251</v>
      </c>
      <c r="D24" t="str">
        <f t="shared" si="0"/>
        <v>2024-7-5</v>
      </c>
      <c r="F24">
        <v>2024</v>
      </c>
      <c r="G24">
        <v>7</v>
      </c>
      <c r="H24">
        <v>5</v>
      </c>
      <c r="I24" s="2">
        <v>0.86944444444444446</v>
      </c>
      <c r="J24" t="s">
        <v>50</v>
      </c>
      <c r="K24">
        <v>2</v>
      </c>
      <c r="L24">
        <v>15</v>
      </c>
      <c r="M24">
        <v>15</v>
      </c>
      <c r="N24" t="s">
        <v>8</v>
      </c>
      <c r="O24" t="s">
        <v>9</v>
      </c>
    </row>
    <row r="25" spans="1:16" s="4" customFormat="1" x14ac:dyDescent="0.2">
      <c r="A25" s="4">
        <v>75</v>
      </c>
      <c r="B25" s="4">
        <v>-18.245935029999998</v>
      </c>
      <c r="C25" s="4">
        <v>124.091071</v>
      </c>
      <c r="D25" t="str">
        <f t="shared" si="0"/>
        <v>2024-7-6</v>
      </c>
      <c r="F25" s="4">
        <v>2024</v>
      </c>
      <c r="G25" s="4">
        <v>7</v>
      </c>
      <c r="H25" s="4">
        <v>6</v>
      </c>
      <c r="I25" s="5">
        <v>0.77777777777777779</v>
      </c>
      <c r="J25" t="s">
        <v>51</v>
      </c>
      <c r="K25">
        <v>2</v>
      </c>
      <c r="L25">
        <v>8</v>
      </c>
      <c r="M25" s="4">
        <v>20</v>
      </c>
      <c r="N25" s="4" t="s">
        <v>8</v>
      </c>
      <c r="O25" s="4" t="s">
        <v>9</v>
      </c>
    </row>
    <row r="26" spans="1:16" s="4" customFormat="1" x14ac:dyDescent="0.2">
      <c r="A26" s="4">
        <v>76</v>
      </c>
      <c r="B26" s="4">
        <v>-18.290869990000001</v>
      </c>
      <c r="C26" s="4">
        <v>123.97981900000001</v>
      </c>
      <c r="D26" t="str">
        <f t="shared" si="0"/>
        <v>2024-7-6</v>
      </c>
      <c r="F26" s="4">
        <v>2024</v>
      </c>
      <c r="G26" s="4">
        <v>7</v>
      </c>
      <c r="H26" s="4">
        <v>6</v>
      </c>
      <c r="I26" s="5">
        <v>0.79166666666666663</v>
      </c>
      <c r="J26" t="s">
        <v>51</v>
      </c>
      <c r="K26">
        <v>2</v>
      </c>
      <c r="L26">
        <v>2</v>
      </c>
      <c r="M26" s="4">
        <v>18</v>
      </c>
      <c r="N26" s="4" t="s">
        <v>8</v>
      </c>
      <c r="O26" s="4" t="s">
        <v>9</v>
      </c>
    </row>
    <row r="27" spans="1:16" x14ac:dyDescent="0.2">
      <c r="A27">
        <v>98</v>
      </c>
      <c r="B27">
        <v>-18.388572979999999</v>
      </c>
      <c r="C27">
        <v>123.89590200000001</v>
      </c>
      <c r="D27" t="str">
        <f t="shared" si="0"/>
        <v>2024-7-6</v>
      </c>
      <c r="F27">
        <v>2024</v>
      </c>
      <c r="G27">
        <v>7</v>
      </c>
      <c r="H27">
        <v>6</v>
      </c>
      <c r="I27" s="2">
        <v>0.8125</v>
      </c>
      <c r="J27" t="s">
        <v>50</v>
      </c>
      <c r="K27">
        <v>2</v>
      </c>
      <c r="L27">
        <v>5</v>
      </c>
      <c r="M27">
        <v>17</v>
      </c>
      <c r="N27" t="s">
        <v>8</v>
      </c>
      <c r="O27" t="s">
        <v>9</v>
      </c>
    </row>
    <row r="28" spans="1:16" x14ac:dyDescent="0.2">
      <c r="A28">
        <v>80</v>
      </c>
      <c r="B28">
        <v>-18.224041</v>
      </c>
      <c r="C28">
        <v>123.745535</v>
      </c>
      <c r="D28" t="str">
        <f t="shared" si="0"/>
        <v>2024-7-6</v>
      </c>
      <c r="F28">
        <v>2024</v>
      </c>
      <c r="G28">
        <v>7</v>
      </c>
      <c r="H28">
        <v>6</v>
      </c>
      <c r="I28" s="1">
        <v>0.84027777777777779</v>
      </c>
      <c r="J28" t="s">
        <v>50</v>
      </c>
      <c r="K28">
        <v>2</v>
      </c>
      <c r="L28">
        <v>25</v>
      </c>
      <c r="M28">
        <v>16</v>
      </c>
      <c r="N28" t="s">
        <v>8</v>
      </c>
      <c r="O28" t="s">
        <v>9</v>
      </c>
      <c r="P28" t="s">
        <v>20</v>
      </c>
    </row>
    <row r="29" spans="1:16" x14ac:dyDescent="0.2">
      <c r="A29">
        <v>84</v>
      </c>
      <c r="B29">
        <v>-17.9803</v>
      </c>
      <c r="C29">
        <v>123.47768000000001</v>
      </c>
      <c r="D29" t="str">
        <f t="shared" si="0"/>
        <v>2024-10-25</v>
      </c>
      <c r="F29">
        <v>2024</v>
      </c>
      <c r="G29">
        <v>10</v>
      </c>
      <c r="H29">
        <v>25</v>
      </c>
      <c r="I29" s="2">
        <v>0.77083333333333337</v>
      </c>
      <c r="J29" t="s">
        <v>50</v>
      </c>
      <c r="K29">
        <v>2</v>
      </c>
      <c r="L29">
        <v>10</v>
      </c>
      <c r="M29">
        <v>36</v>
      </c>
      <c r="N29" t="s">
        <v>8</v>
      </c>
      <c r="O29" t="s">
        <v>21</v>
      </c>
      <c r="P29" t="s">
        <v>22</v>
      </c>
    </row>
    <row r="30" spans="1:16" x14ac:dyDescent="0.2">
      <c r="A30">
        <v>90</v>
      </c>
      <c r="B30">
        <v>-17.824527979999999</v>
      </c>
      <c r="C30">
        <v>123.48777</v>
      </c>
      <c r="D30" t="str">
        <f t="shared" si="0"/>
        <v>2024-10-25</v>
      </c>
      <c r="F30">
        <v>2024</v>
      </c>
      <c r="G30">
        <v>10</v>
      </c>
      <c r="H30">
        <v>25</v>
      </c>
      <c r="I30" s="1">
        <v>0.81944444444444442</v>
      </c>
      <c r="J30" t="s">
        <v>50</v>
      </c>
      <c r="K30">
        <v>2</v>
      </c>
      <c r="L30">
        <v>10</v>
      </c>
      <c r="M30">
        <v>31</v>
      </c>
      <c r="N30" t="s">
        <v>8</v>
      </c>
      <c r="O30" t="s">
        <v>23</v>
      </c>
    </row>
    <row r="31" spans="1:16" x14ac:dyDescent="0.2">
      <c r="A31">
        <v>100</v>
      </c>
      <c r="B31">
        <v>-17.839130000000001</v>
      </c>
      <c r="C31">
        <v>123.49073</v>
      </c>
      <c r="D31" t="str">
        <f t="shared" si="0"/>
        <v>2024-10-25</v>
      </c>
      <c r="F31">
        <v>2024</v>
      </c>
      <c r="G31">
        <v>10</v>
      </c>
      <c r="H31">
        <v>25</v>
      </c>
      <c r="I31" s="1">
        <v>0.84375</v>
      </c>
      <c r="J31" t="s">
        <v>50</v>
      </c>
      <c r="K31">
        <v>2</v>
      </c>
      <c r="L31">
        <v>5</v>
      </c>
      <c r="M31">
        <v>31</v>
      </c>
      <c r="N31" t="s">
        <v>8</v>
      </c>
      <c r="O31" t="s">
        <v>9</v>
      </c>
    </row>
    <row r="32" spans="1:16" x14ac:dyDescent="0.2">
      <c r="A32">
        <v>101</v>
      </c>
      <c r="B32">
        <v>-17.742750000000001</v>
      </c>
      <c r="C32">
        <v>123.51466000000001</v>
      </c>
      <c r="D32" t="str">
        <f t="shared" si="0"/>
        <v>2024-10-25</v>
      </c>
      <c r="F32">
        <v>2024</v>
      </c>
      <c r="G32">
        <v>10</v>
      </c>
      <c r="H32">
        <v>25</v>
      </c>
      <c r="I32" s="1">
        <v>0.85416666666666663</v>
      </c>
      <c r="J32" t="s">
        <v>50</v>
      </c>
      <c r="K32">
        <v>2</v>
      </c>
      <c r="L32">
        <v>2</v>
      </c>
      <c r="M32">
        <v>31</v>
      </c>
      <c r="N32" t="s">
        <v>8</v>
      </c>
      <c r="O32" t="s">
        <v>24</v>
      </c>
    </row>
    <row r="33" spans="1:16" x14ac:dyDescent="0.2">
      <c r="A33">
        <v>102</v>
      </c>
      <c r="B33">
        <v>-17.73208</v>
      </c>
      <c r="C33">
        <v>123.51931</v>
      </c>
      <c r="D33" t="str">
        <f t="shared" si="0"/>
        <v>2024-10-25</v>
      </c>
      <c r="F33">
        <v>2024</v>
      </c>
      <c r="G33">
        <v>10</v>
      </c>
      <c r="H33">
        <v>25</v>
      </c>
      <c r="I33" s="2">
        <v>0.86805555555555558</v>
      </c>
      <c r="J33" t="s">
        <v>50</v>
      </c>
      <c r="K33">
        <v>2</v>
      </c>
      <c r="L33">
        <v>5</v>
      </c>
      <c r="M33">
        <v>31</v>
      </c>
      <c r="N33" t="s">
        <v>8</v>
      </c>
      <c r="O33" t="s">
        <v>9</v>
      </c>
      <c r="P33" t="s">
        <v>25</v>
      </c>
    </row>
    <row r="34" spans="1:16" s="4" customFormat="1" x14ac:dyDescent="0.2">
      <c r="A34" s="4">
        <v>103</v>
      </c>
      <c r="B34" s="4">
        <v>-17.7075</v>
      </c>
      <c r="C34" s="4">
        <v>123.53185999999999</v>
      </c>
      <c r="D34" t="str">
        <f t="shared" si="0"/>
        <v>2024-10-25</v>
      </c>
      <c r="F34" s="4">
        <v>2024</v>
      </c>
      <c r="G34" s="4">
        <v>10</v>
      </c>
      <c r="H34" s="4">
        <v>25</v>
      </c>
      <c r="I34" s="5">
        <v>0.87847222222222221</v>
      </c>
      <c r="J34" t="s">
        <v>51</v>
      </c>
      <c r="K34">
        <v>2</v>
      </c>
      <c r="L34">
        <v>0.25</v>
      </c>
      <c r="M34" s="4">
        <v>31</v>
      </c>
      <c r="N34" s="4" t="s">
        <v>8</v>
      </c>
      <c r="O34" s="4" t="s">
        <v>9</v>
      </c>
      <c r="P34" s="4" t="s">
        <v>26</v>
      </c>
    </row>
    <row r="35" spans="1:16" x14ac:dyDescent="0.2">
      <c r="A35">
        <v>104</v>
      </c>
      <c r="B35">
        <v>-17.695350000000001</v>
      </c>
      <c r="C35">
        <v>123.52059</v>
      </c>
      <c r="D35" t="str">
        <f t="shared" si="0"/>
        <v>2024-10-25</v>
      </c>
      <c r="F35">
        <v>2024</v>
      </c>
      <c r="G35">
        <v>10</v>
      </c>
      <c r="H35">
        <v>25</v>
      </c>
      <c r="I35" s="2">
        <v>0.89236111111111116</v>
      </c>
      <c r="J35" t="s">
        <v>50</v>
      </c>
      <c r="K35">
        <v>2</v>
      </c>
      <c r="L35">
        <v>6</v>
      </c>
      <c r="M35">
        <v>30</v>
      </c>
      <c r="N35" t="s">
        <v>8</v>
      </c>
      <c r="O35" t="s">
        <v>9</v>
      </c>
      <c r="P35" t="s">
        <v>27</v>
      </c>
    </row>
    <row r="36" spans="1:16" x14ac:dyDescent="0.2">
      <c r="A36">
        <v>91</v>
      </c>
      <c r="B36">
        <v>-17.67334</v>
      </c>
      <c r="C36">
        <v>123.45507000000001</v>
      </c>
      <c r="D36" t="str">
        <f t="shared" si="0"/>
        <v>2024-10-25</v>
      </c>
      <c r="F36">
        <v>2024</v>
      </c>
      <c r="G36">
        <v>10</v>
      </c>
      <c r="H36">
        <v>25</v>
      </c>
      <c r="I36" s="2">
        <v>0.90625</v>
      </c>
      <c r="J36" t="s">
        <v>50</v>
      </c>
      <c r="K36">
        <v>2</v>
      </c>
      <c r="L36">
        <v>8</v>
      </c>
      <c r="M36">
        <v>30</v>
      </c>
      <c r="N36" t="s">
        <v>8</v>
      </c>
      <c r="O36" t="s">
        <v>9</v>
      </c>
      <c r="P36" t="s">
        <v>28</v>
      </c>
    </row>
    <row r="37" spans="1:16" s="4" customFormat="1" x14ac:dyDescent="0.2">
      <c r="A37" s="4">
        <v>105</v>
      </c>
      <c r="B37" s="4">
        <v>-17.71415</v>
      </c>
      <c r="C37" s="4">
        <v>123.54776</v>
      </c>
      <c r="D37" t="str">
        <f t="shared" si="0"/>
        <v>2024-10-25</v>
      </c>
      <c r="F37" s="4">
        <v>2024</v>
      </c>
      <c r="G37" s="4">
        <v>10</v>
      </c>
      <c r="H37" s="4">
        <v>25</v>
      </c>
      <c r="I37" s="6">
        <v>0.92361111111111116</v>
      </c>
      <c r="J37" t="s">
        <v>51</v>
      </c>
      <c r="K37">
        <v>2</v>
      </c>
      <c r="L37">
        <v>2</v>
      </c>
      <c r="M37" s="4">
        <v>30</v>
      </c>
      <c r="N37" s="4" t="s">
        <v>8</v>
      </c>
      <c r="O37" s="4" t="s">
        <v>9</v>
      </c>
      <c r="P37" s="4" t="s">
        <v>29</v>
      </c>
    </row>
    <row r="38" spans="1:16" x14ac:dyDescent="0.2">
      <c r="A38">
        <v>106</v>
      </c>
      <c r="B38">
        <v>-17.735779999999998</v>
      </c>
      <c r="C38">
        <v>123.56921</v>
      </c>
      <c r="D38" t="str">
        <f t="shared" si="0"/>
        <v>2024-10-25</v>
      </c>
      <c r="F38">
        <v>2024</v>
      </c>
      <c r="G38">
        <v>10</v>
      </c>
      <c r="H38">
        <v>25</v>
      </c>
      <c r="I38" s="2">
        <v>0.93402777777777779</v>
      </c>
      <c r="J38" t="s">
        <v>50</v>
      </c>
      <c r="K38">
        <v>2</v>
      </c>
      <c r="L38">
        <v>12</v>
      </c>
      <c r="M38">
        <v>30</v>
      </c>
      <c r="N38" t="s">
        <v>8</v>
      </c>
      <c r="O38" t="s">
        <v>9</v>
      </c>
      <c r="P38" t="s">
        <v>30</v>
      </c>
    </row>
    <row r="39" spans="1:16" x14ac:dyDescent="0.2">
      <c r="A39" t="s">
        <v>31</v>
      </c>
      <c r="B39">
        <v>-18.315550000000002</v>
      </c>
      <c r="C39">
        <v>123.72669999999999</v>
      </c>
      <c r="D39" t="str">
        <f t="shared" si="0"/>
        <v>2024-10-26</v>
      </c>
      <c r="F39">
        <v>2024</v>
      </c>
      <c r="G39">
        <v>10</v>
      </c>
      <c r="H39">
        <v>26</v>
      </c>
      <c r="I39" s="2">
        <v>0.77222222222222225</v>
      </c>
      <c r="J39" t="s">
        <v>50</v>
      </c>
      <c r="K39">
        <v>2</v>
      </c>
      <c r="L39">
        <v>8</v>
      </c>
      <c r="M39">
        <v>38</v>
      </c>
      <c r="N39" t="s">
        <v>8</v>
      </c>
      <c r="O39" t="s">
        <v>9</v>
      </c>
    </row>
    <row r="40" spans="1:16" x14ac:dyDescent="0.2">
      <c r="A40">
        <v>79</v>
      </c>
      <c r="B40">
        <v>-18.270114979999999</v>
      </c>
      <c r="C40">
        <v>123.748251</v>
      </c>
      <c r="D40" t="str">
        <f t="shared" si="0"/>
        <v>2024-10-26</v>
      </c>
      <c r="F40">
        <v>2024</v>
      </c>
      <c r="G40">
        <v>10</v>
      </c>
      <c r="H40">
        <v>26</v>
      </c>
      <c r="I40" s="2">
        <v>0.78749999999999998</v>
      </c>
      <c r="J40" t="s">
        <v>50</v>
      </c>
      <c r="K40">
        <v>2</v>
      </c>
      <c r="L40">
        <v>10</v>
      </c>
      <c r="M40">
        <v>34</v>
      </c>
      <c r="N40" t="s">
        <v>8</v>
      </c>
      <c r="O40" t="s">
        <v>9</v>
      </c>
    </row>
    <row r="41" spans="1:16" x14ac:dyDescent="0.2">
      <c r="A41" t="s">
        <v>32</v>
      </c>
      <c r="B41">
        <v>-18.25459</v>
      </c>
      <c r="C41">
        <v>123.66200000000001</v>
      </c>
      <c r="D41" t="str">
        <f t="shared" si="0"/>
        <v>2024-10-26</v>
      </c>
      <c r="F41">
        <v>2024</v>
      </c>
      <c r="G41">
        <v>10</v>
      </c>
      <c r="H41">
        <v>26</v>
      </c>
      <c r="I41" s="2">
        <v>0.81111111111111112</v>
      </c>
      <c r="J41" t="s">
        <v>50</v>
      </c>
      <c r="K41">
        <v>2</v>
      </c>
      <c r="L41">
        <v>3</v>
      </c>
      <c r="M41">
        <v>35</v>
      </c>
      <c r="N41" t="s">
        <v>8</v>
      </c>
      <c r="O41" t="s">
        <v>9</v>
      </c>
    </row>
    <row r="42" spans="1:16" x14ac:dyDescent="0.2">
      <c r="A42" s="3" t="s">
        <v>33</v>
      </c>
      <c r="B42">
        <v>-18.196650000000002</v>
      </c>
      <c r="C42">
        <v>123.64870000000001</v>
      </c>
      <c r="D42" t="str">
        <f t="shared" si="0"/>
        <v>2024-10-26</v>
      </c>
      <c r="F42">
        <v>2024</v>
      </c>
      <c r="G42">
        <v>10</v>
      </c>
      <c r="H42">
        <v>26</v>
      </c>
      <c r="I42" s="2">
        <v>0.82638888888888884</v>
      </c>
      <c r="J42" t="s">
        <v>50</v>
      </c>
      <c r="K42">
        <v>2</v>
      </c>
      <c r="L42">
        <v>2</v>
      </c>
      <c r="M42">
        <v>34</v>
      </c>
      <c r="N42" t="s">
        <v>8</v>
      </c>
      <c r="O42" t="s">
        <v>9</v>
      </c>
    </row>
    <row r="43" spans="1:16" x14ac:dyDescent="0.2">
      <c r="A43" t="s">
        <v>34</v>
      </c>
      <c r="B43">
        <v>-18.14696</v>
      </c>
      <c r="C43">
        <v>123.6169</v>
      </c>
      <c r="D43" t="str">
        <f t="shared" si="0"/>
        <v>2024-10-26</v>
      </c>
      <c r="F43">
        <v>2024</v>
      </c>
      <c r="G43">
        <v>10</v>
      </c>
      <c r="H43">
        <v>26</v>
      </c>
      <c r="I43" s="2">
        <v>0.83750000000000002</v>
      </c>
      <c r="J43" t="s">
        <v>50</v>
      </c>
      <c r="K43">
        <v>2</v>
      </c>
      <c r="L43">
        <v>5</v>
      </c>
      <c r="M43">
        <v>32</v>
      </c>
      <c r="N43" t="s">
        <v>8</v>
      </c>
      <c r="O43" t="s">
        <v>9</v>
      </c>
    </row>
    <row r="44" spans="1:16" x14ac:dyDescent="0.2">
      <c r="A44" s="3" t="s">
        <v>35</v>
      </c>
      <c r="B44">
        <v>-18.062999999999999</v>
      </c>
      <c r="C44">
        <v>123.54730000000001</v>
      </c>
      <c r="D44" t="str">
        <f t="shared" si="0"/>
        <v>2024-10-26</v>
      </c>
      <c r="F44">
        <v>2024</v>
      </c>
      <c r="G44">
        <v>10</v>
      </c>
      <c r="H44">
        <v>26</v>
      </c>
      <c r="I44" s="2">
        <v>0.8520833333333333</v>
      </c>
      <c r="J44" t="s">
        <v>50</v>
      </c>
      <c r="K44">
        <v>2</v>
      </c>
      <c r="L44">
        <v>3</v>
      </c>
      <c r="M44">
        <v>32</v>
      </c>
      <c r="N44" t="s">
        <v>8</v>
      </c>
      <c r="O44" t="s">
        <v>9</v>
      </c>
    </row>
    <row r="45" spans="1:16" x14ac:dyDescent="0.2">
      <c r="A45" t="s">
        <v>36</v>
      </c>
      <c r="B45">
        <v>-17.89039</v>
      </c>
      <c r="C45">
        <v>123.5878</v>
      </c>
      <c r="D45" t="str">
        <f t="shared" si="0"/>
        <v>2024-10-26</v>
      </c>
      <c r="F45">
        <v>2024</v>
      </c>
      <c r="G45">
        <v>10</v>
      </c>
      <c r="H45">
        <v>26</v>
      </c>
      <c r="I45" s="2">
        <v>0.8979166666666667</v>
      </c>
      <c r="J45" t="s">
        <v>50</v>
      </c>
      <c r="K45">
        <v>2</v>
      </c>
      <c r="L45">
        <v>5</v>
      </c>
      <c r="M45">
        <v>33</v>
      </c>
      <c r="N45" t="s">
        <v>8</v>
      </c>
      <c r="O45" t="s">
        <v>9</v>
      </c>
    </row>
    <row r="46" spans="1:16" x14ac:dyDescent="0.2">
      <c r="A46" s="3" t="s">
        <v>37</v>
      </c>
      <c r="B46">
        <v>-17.918399999999998</v>
      </c>
      <c r="C46">
        <v>123.6238</v>
      </c>
      <c r="D46" t="str">
        <f t="shared" si="0"/>
        <v>2024-10-26</v>
      </c>
      <c r="F46">
        <v>2024</v>
      </c>
      <c r="G46">
        <v>10</v>
      </c>
      <c r="H46">
        <v>26</v>
      </c>
      <c r="I46" s="2">
        <v>0.91874999999999996</v>
      </c>
      <c r="J46" t="s">
        <v>50</v>
      </c>
      <c r="K46">
        <v>2</v>
      </c>
      <c r="L46">
        <v>10</v>
      </c>
      <c r="M46">
        <v>31</v>
      </c>
      <c r="N46" t="s">
        <v>8</v>
      </c>
      <c r="O46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13EB-86C2-BA4B-99C8-AE6D5D12FC8B}">
  <dimension ref="A1:A3"/>
  <sheetViews>
    <sheetView workbookViewId="0">
      <selection activeCell="A4" sqref="A4"/>
    </sheetView>
  </sheetViews>
  <sheetFormatPr baseColWidth="10" defaultColWidth="11" defaultRowHeight="16" x14ac:dyDescent="0.2"/>
  <sheetData>
    <row r="1" spans="1:1" x14ac:dyDescent="0.2">
      <c r="A1" t="s">
        <v>38</v>
      </c>
    </row>
    <row r="3" spans="1:1" x14ac:dyDescent="0.2">
      <c r="A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recon_data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Phillips</dc:creator>
  <cp:keywords/>
  <dc:description/>
  <cp:lastModifiedBy>Ben Phillips</cp:lastModifiedBy>
  <cp:revision/>
  <dcterms:created xsi:type="dcterms:W3CDTF">2024-10-26T00:57:17Z</dcterms:created>
  <dcterms:modified xsi:type="dcterms:W3CDTF">2025-10-10T05:49:03Z</dcterms:modified>
  <cp:category/>
  <cp:contentStatus/>
</cp:coreProperties>
</file>